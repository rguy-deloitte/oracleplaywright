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/Users/richardguy/r/oracleplaywright/excel-data-files/"/>
    </mc:Choice>
  </mc:AlternateContent>
  <xr:revisionPtr revIDLastSave="0" documentId="13_ncr:1_{E4E3B0C0-8DA6-CC49-860D-651704A6D083}" xr6:coauthVersionLast="47" xr6:coauthVersionMax="47" xr10:uidLastSave="{00000000-0000-0000-0000-000000000000}"/>
  <bookViews>
    <workbookView xWindow="5640" yWindow="3180" windowWidth="25780" windowHeight="18760" firstSheet="2" activeTab="2" xr2:uid="{39C55B49-5ADB-CF4F-8459-6E15E59B12DD}"/>
  </bookViews>
  <sheets>
    <sheet name="Instructions" sheetId="3" r:id="rId1"/>
    <sheet name="Setup" sheetId="1" r:id="rId2"/>
    <sheet name="Loop" sheetId="11" r:id="rId3"/>
  </sheets>
  <definedNames>
    <definedName name="_xlnm._FilterDatabase" localSheetId="2" hidden="1">Loop!$A$1:$V$1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" i="11" l="1"/>
  <c r="Q11" i="11"/>
  <c r="F11" i="11"/>
  <c r="R10" i="11"/>
  <c r="Q10" i="11"/>
  <c r="F10" i="11"/>
  <c r="R9" i="11"/>
  <c r="Q9" i="11"/>
  <c r="F9" i="11"/>
  <c r="R8" i="11"/>
  <c r="Q8" i="11"/>
  <c r="F8" i="11"/>
  <c r="R7" i="11"/>
  <c r="Q7" i="11"/>
  <c r="F7" i="11"/>
  <c r="R6" i="11"/>
  <c r="Q6" i="11"/>
  <c r="F6" i="11"/>
  <c r="R5" i="11"/>
  <c r="Q5" i="11"/>
  <c r="F5" i="11"/>
  <c r="R4" i="11"/>
  <c r="Q4" i="11"/>
  <c r="F4" i="11"/>
  <c r="R3" i="11"/>
  <c r="Q3" i="11"/>
  <c r="F3" i="11"/>
  <c r="R2" i="11"/>
  <c r="Q2" i="11"/>
  <c r="F2" i="11"/>
  <c r="H10" i="11" l="1"/>
  <c r="H7" i="11"/>
  <c r="H4" i="11"/>
  <c r="H11" i="11"/>
  <c r="H8" i="11"/>
  <c r="H5" i="11"/>
  <c r="H2" i="11"/>
  <c r="H9" i="11"/>
  <c r="H6" i="11"/>
  <c r="H3" i="11"/>
</calcChain>
</file>

<file path=xl/sharedStrings.xml><?xml version="1.0" encoding="utf-8"?>
<sst xmlns="http://schemas.openxmlformats.org/spreadsheetml/2006/main" count="87" uniqueCount="49">
  <si>
    <t>Instructions:</t>
  </si>
  <si>
    <t>This data file must have the same filename as the Playwright test script, and must be stored in the excel-data-files folder.</t>
  </si>
  <si>
    <t>Use the Setup sheet (Column B) for the values required only once. (Titles in column A can be whatever you like).</t>
  </si>
  <si>
    <t>Use the Loop sheet (Rows 2 onwards) for values required many times. (Titles on Row 1 can be whatever you like).</t>
  </si>
  <si>
    <t>Any other format will not work!</t>
  </si>
  <si>
    <t>url</t>
  </si>
  <si>
    <t>https://iahdme-dev1.fa.ocs.oraclecloud.com/</t>
  </si>
  <si>
    <t>newProcessName</t>
  </si>
  <si>
    <t>Transfer Ledger Balances</t>
  </si>
  <si>
    <t>Source Ledger</t>
  </si>
  <si>
    <t>N/A - See Loop Worksheet!</t>
  </si>
  <si>
    <t>Target Ledger</t>
  </si>
  <si>
    <t>CoA Mapping</t>
  </si>
  <si>
    <t>XX Secondary Ledger Balance</t>
  </si>
  <si>
    <t>Amount Type</t>
  </si>
  <si>
    <t>PTD Period to date balance type.</t>
  </si>
  <si>
    <t>Run Journal Import</t>
  </si>
  <si>
    <t>Create Summary Journals</t>
  </si>
  <si>
    <t>Run Automatic Posting</t>
  </si>
  <si>
    <t>ID</t>
  </si>
  <si>
    <t>Target ledger</t>
  </si>
  <si>
    <t>Source Ledger Period</t>
  </si>
  <si>
    <t>Target Ledger Period</t>
  </si>
  <si>
    <t>Target Period</t>
  </si>
  <si>
    <t>Check</t>
  </si>
  <si>
    <t>NAME</t>
  </si>
  <si>
    <t>PERIOD_NAME</t>
  </si>
  <si>
    <t>REQUESTID</t>
  </si>
  <si>
    <t>STARTTIME</t>
  </si>
  <si>
    <t>ENDTIME</t>
  </si>
  <si>
    <t>RESULT</t>
  </si>
  <si>
    <t>IT ACTUALS EUR Apr</t>
  </si>
  <si>
    <t>IT ACTUALS EUR April</t>
  </si>
  <si>
    <t>Aug-18</t>
  </si>
  <si>
    <t>SUCCESS</t>
  </si>
  <si>
    <t>Dec-18</t>
  </si>
  <si>
    <t>STARTED</t>
  </si>
  <si>
    <t>May-20</t>
  </si>
  <si>
    <t xml:space="preserve">01_May-21 </t>
  </si>
  <si>
    <t>May-21</t>
  </si>
  <si>
    <t>Mar-23</t>
  </si>
  <si>
    <t>Jan-24</t>
  </si>
  <si>
    <t>Dec-24</t>
  </si>
  <si>
    <t>UY ACTUALS UYU Mar</t>
  </si>
  <si>
    <t>UY ACTUALS UYU April</t>
  </si>
  <si>
    <t>Nov-23</t>
  </si>
  <si>
    <t>CL ACTUALS CLP Dec</t>
  </si>
  <si>
    <t>CL ACTUALS CLP April</t>
  </si>
  <si>
    <t>Jan-25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</si>
</sst>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Aptos Narrow"/>
      <family val="2"/>
      <scheme val="minor"/>
    </font>
    <font>
      <b/>
      <sz val="22"/>
      <color theme="1"/>
      <name val="Aptos Narrow"/>
      <scheme val="minor"/>
    </font>
    <font>
      <sz val="16"/>
      <color theme="1"/>
      <name val="Aptos Narrow"/>
      <family val="2"/>
      <scheme val="minor"/>
    </font>
    <font>
      <sz val="12"/>
      <color rgb="FF333333"/>
      <name val="Helvetica Neue"/>
      <family val="2"/>
    </font>
    <font>
      <sz val="9"/>
      <color theme="1"/>
      <name val="Arial"/>
      <family val="2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  <font>
      <b/>
      <sz val="8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/>
      <bottom/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2" borderId="0" xfId="0" applyFont="1" applyFill="1"/>
    <xf numFmtId="0" fontId="3" fillId="0" borderId="0" xfId="0" applyFont="1"/>
    <xf numFmtId="0" fontId="4" fillId="3" borderId="1" xfId="0" applyFont="1" applyFill="1" applyBorder="1" applyAlignment="1">
      <alignment vertical="top" wrapText="1"/>
    </xf>
    <xf numFmtId="0" fontId="5" fillId="0" borderId="0" xfId="0" applyFont="1"/>
    <xf numFmtId="17" fontId="0" fillId="0" borderId="0" xfId="0" applyNumberFormat="1"/>
    <xf numFmtId="17" fontId="4" fillId="3" borderId="1" xfId="0" applyNumberFormat="1" applyFont="1" applyFill="1" applyBorder="1" applyAlignment="1">
      <alignment vertical="top" wrapText="1"/>
    </xf>
    <xf numFmtId="0" fontId="4" fillId="3" borderId="2" xfId="0" applyFont="1" applyFill="1" applyBorder="1" applyAlignment="1">
      <alignment vertical="top" wrapText="1"/>
    </xf>
    <xf numFmtId="0" fontId="6" fillId="4" borderId="0" xfId="0" applyFont="1" applyFill="1"/>
    <xf numFmtId="0" fontId="7" fillId="4" borderId="3" xfId="0" applyFont="1" applyFill="1" applyBorder="1" applyAlignment="1">
      <alignment horizontal="left"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33EC5-03CB-D544-9EAA-46900CFD2381}">
  <dimension ref="A1:B27"/>
  <sheetViews>
    <sheetView workbookViewId="0">
      <selection activeCell="B36" sqref="B36"/>
    </sheetView>
  </sheetViews>
  <sheetFormatPr defaultColWidth="10.875" defaultRowHeight="15.95"/>
  <cols>
    <col min="1" max="1" width="5.875" style="2" customWidth="1"/>
    <col min="2" max="16384" width="10.875" style="2"/>
  </cols>
  <sheetData>
    <row r="1" spans="1:2" ht="29.1">
      <c r="A1" s="1" t="s">
        <v>0</v>
      </c>
    </row>
    <row r="2" spans="1:2" ht="29.1">
      <c r="A2" s="1"/>
      <c r="B2" s="3" t="s">
        <v>1</v>
      </c>
    </row>
    <row r="3" spans="1:2" ht="24.95" customHeight="1">
      <c r="B3" s="3" t="s">
        <v>2</v>
      </c>
    </row>
    <row r="4" spans="1:2" ht="24.95" customHeight="1">
      <c r="B4" s="3" t="s">
        <v>3</v>
      </c>
    </row>
    <row r="5" spans="1:2" ht="24.95" customHeight="1">
      <c r="B5" s="3" t="s">
        <v>4</v>
      </c>
    </row>
    <row r="6" spans="1:2" ht="24.95" customHeight="1"/>
    <row r="7" spans="1:2" ht="24.95" customHeight="1"/>
    <row r="8" spans="1:2" ht="24.95" customHeight="1"/>
    <row r="9" spans="1:2" ht="24.95" customHeight="1"/>
    <row r="10" spans="1:2" ht="24.95" customHeight="1"/>
    <row r="11" spans="1:2" ht="24.95" customHeight="1"/>
    <row r="12" spans="1:2" ht="24.95" customHeight="1"/>
    <row r="13" spans="1:2" ht="24.95" customHeight="1"/>
    <row r="14" spans="1:2" ht="24.95" customHeight="1"/>
    <row r="15" spans="1:2" ht="24.95" customHeight="1"/>
    <row r="16" spans="1:2" ht="24.95" customHeight="1"/>
    <row r="17" ht="24.95" customHeight="1"/>
    <row r="18" ht="24.95" customHeight="1"/>
    <row r="19" ht="24.95" customHeight="1"/>
    <row r="20" ht="24.95" customHeight="1"/>
    <row r="21" ht="24.95" customHeight="1"/>
    <row r="22" ht="24.95" customHeight="1"/>
    <row r="23" ht="24.95" customHeight="1"/>
    <row r="24" ht="24.95" customHeight="1"/>
    <row r="25" ht="24.95" customHeight="1"/>
    <row r="26" ht="24.95" customHeight="1"/>
    <row r="27" ht="24.95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25D91-67B5-EF48-9DB9-A33972D99E99}">
  <dimension ref="A1:B9"/>
  <sheetViews>
    <sheetView zoomScale="160" zoomScaleNormal="160" workbookViewId="0">
      <selection activeCell="B36" sqref="B36"/>
    </sheetView>
  </sheetViews>
  <sheetFormatPr defaultColWidth="11" defaultRowHeight="15.95"/>
  <cols>
    <col min="1" max="1" width="22" customWidth="1"/>
  </cols>
  <sheetData>
    <row r="1" spans="1:2">
      <c r="A1" t="s">
        <v>5</v>
      </c>
      <c r="B1" s="6" t="s">
        <v>6</v>
      </c>
    </row>
    <row r="2" spans="1:2">
      <c r="A2" t="s">
        <v>7</v>
      </c>
      <c r="B2" s="4" t="s">
        <v>8</v>
      </c>
    </row>
    <row r="3" spans="1:2">
      <c r="A3" t="s">
        <v>9</v>
      </c>
      <c r="B3" t="s">
        <v>10</v>
      </c>
    </row>
    <row r="4" spans="1:2">
      <c r="A4" t="s">
        <v>11</v>
      </c>
      <c r="B4" t="s">
        <v>10</v>
      </c>
    </row>
    <row r="5" spans="1:2">
      <c r="A5" t="s">
        <v>12</v>
      </c>
      <c r="B5" t="s">
        <v>13</v>
      </c>
    </row>
    <row r="6" spans="1:2">
      <c r="A6" t="s">
        <v>14</v>
      </c>
      <c r="B6" t="s">
        <v>15</v>
      </c>
    </row>
    <row r="7" spans="1:2">
      <c r="A7" t="s">
        <v>16</v>
      </c>
      <c r="B7" t="b">
        <v>1</v>
      </c>
    </row>
    <row r="8" spans="1:2">
      <c r="A8" t="s">
        <v>17</v>
      </c>
      <c r="B8" t="b">
        <v>1</v>
      </c>
    </row>
    <row r="9" spans="1:2">
      <c r="A9" t="s">
        <v>18</v>
      </c>
      <c r="B9" t="b">
        <v>1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CD789-9BF8-CC4A-95BD-2C3C5B20BC77}">
  <dimension ref="A1:V34"/>
  <sheetViews>
    <sheetView tabSelected="1" zoomScale="120" zoomScaleNormal="120" workbookViewId="0"/>
  </sheetViews>
  <sheetFormatPr defaultColWidth="11" defaultRowHeight="15.95"/>
  <cols>
    <col min="2" max="2" width="18" bestFit="1" customWidth="1"/>
    <col min="3" max="3" width="18.375" bestFit="1" customWidth="1"/>
    <col min="4" max="4" width="18.125" bestFit="1" customWidth="1"/>
    <col min="5" max="5" width="17.5" bestFit="1" customWidth="1"/>
    <col min="6" max="8" width="24.875" hidden="1" customWidth="1"/>
    <col min="9" max="13" width="0" hidden="1" customWidth="1"/>
    <col min="14" max="14" width="15.125" hidden="1" customWidth="1"/>
    <col min="15" max="15" width="11.875" hidden="1" customWidth="1"/>
    <col min="16" max="18" width="0" hidden="1" customWidth="1"/>
  </cols>
  <sheetData>
    <row r="1" spans="1:22" s="12" customFormat="1" ht="15.95" customHeight="1">
      <c r="A1" s="10" t="s">
        <v>19</v>
      </c>
      <c r="B1" s="10" t="s">
        <v>9</v>
      </c>
      <c r="C1" s="10" t="s">
        <v>20</v>
      </c>
      <c r="D1" s="10" t="s">
        <v>21</v>
      </c>
      <c r="E1" s="10" t="s">
        <v>22</v>
      </c>
      <c r="F1" s="10"/>
      <c r="G1" s="10" t="s">
        <v>23</v>
      </c>
      <c r="H1" s="10" t="s">
        <v>24</v>
      </c>
      <c r="I1" s="11" t="s">
        <v>25</v>
      </c>
      <c r="J1" s="11" t="s">
        <v>26</v>
      </c>
      <c r="K1" s="10"/>
      <c r="L1" s="10"/>
      <c r="M1" s="10"/>
      <c r="N1" s="11" t="s">
        <v>25</v>
      </c>
      <c r="O1" s="11" t="s">
        <v>26</v>
      </c>
      <c r="P1" s="10"/>
      <c r="Q1" s="10"/>
      <c r="R1" s="10"/>
      <c r="S1" s="10" t="s">
        <v>27</v>
      </c>
      <c r="T1" s="10" t="s">
        <v>28</v>
      </c>
      <c r="U1" s="10" t="s">
        <v>29</v>
      </c>
      <c r="V1" s="10" t="s">
        <v>30</v>
      </c>
    </row>
    <row r="2" spans="1:22" ht="15.95" customHeight="1">
      <c r="A2">
        <v>1</v>
      </c>
      <c r="B2" s="5" t="s">
        <v>31</v>
      </c>
      <c r="C2" s="5" t="s">
        <v>32</v>
      </c>
      <c r="D2" s="5" t="s">
        <v>33</v>
      </c>
      <c r="E2" t="s">
        <v>33</v>
      </c>
      <c r="F2" t="str">
        <f t="shared" ref="F2:F11" si="0">B2&amp;TEXT(D2,"MMM-YY")</f>
        <v>IT ACTUALS EUR AprAug-18</v>
      </c>
      <c r="G2" t="s">
        <v>33</v>
      </c>
      <c r="H2" t="e">
        <f t="shared" ref="H2:H11" si="1">VLOOKUP(F2,P:P,1,0)</f>
        <v>#N/A</v>
      </c>
      <c r="Q2" t="str">
        <f t="shared" ref="Q2:R11" si="2">TEXT(D2,"MMM-YY")</f>
        <v>Aug-18</v>
      </c>
      <c r="R2" t="str">
        <f t="shared" si="2"/>
        <v>Aug-18</v>
      </c>
      <c r="S2">
        <v>23423</v>
      </c>
      <c r="T2">
        <v>1</v>
      </c>
      <c r="U2">
        <v>2</v>
      </c>
      <c r="V2" t="s">
        <v>34</v>
      </c>
    </row>
    <row r="3" spans="1:22" ht="15.95" customHeight="1">
      <c r="A3">
        <v>2</v>
      </c>
      <c r="B3" s="5" t="s">
        <v>31</v>
      </c>
      <c r="C3" s="5" t="s">
        <v>32</v>
      </c>
      <c r="D3" s="5" t="s">
        <v>35</v>
      </c>
      <c r="E3" t="s">
        <v>35</v>
      </c>
      <c r="F3" t="str">
        <f t="shared" si="0"/>
        <v>IT ACTUALS EUR AprDec-18</v>
      </c>
      <c r="G3" t="s">
        <v>35</v>
      </c>
      <c r="H3" t="e">
        <f t="shared" si="1"/>
        <v>#N/A</v>
      </c>
      <c r="Q3" t="str">
        <f t="shared" si="2"/>
        <v>Dec-18</v>
      </c>
      <c r="R3" t="str">
        <f t="shared" si="2"/>
        <v>Dec-18</v>
      </c>
      <c r="V3" t="s">
        <v>36</v>
      </c>
    </row>
    <row r="4" spans="1:22" ht="15.95" customHeight="1">
      <c r="A4">
        <v>3</v>
      </c>
      <c r="B4" s="5" t="s">
        <v>31</v>
      </c>
      <c r="C4" s="5" t="s">
        <v>32</v>
      </c>
      <c r="D4" s="5" t="s">
        <v>37</v>
      </c>
      <c r="E4" t="s">
        <v>37</v>
      </c>
      <c r="F4" t="str">
        <f t="shared" si="0"/>
        <v>IT ACTUALS EUR AprMay-20</v>
      </c>
      <c r="G4" t="s">
        <v>37</v>
      </c>
      <c r="H4" t="e">
        <f t="shared" si="1"/>
        <v>#N/A</v>
      </c>
      <c r="Q4" t="str">
        <f t="shared" si="2"/>
        <v>May-20</v>
      </c>
      <c r="R4" t="str">
        <f t="shared" si="2"/>
        <v>May-20</v>
      </c>
    </row>
    <row r="5" spans="1:22" ht="15.95" customHeight="1">
      <c r="A5">
        <v>4</v>
      </c>
      <c r="B5" s="5" t="s">
        <v>31</v>
      </c>
      <c r="C5" s="5" t="s">
        <v>32</v>
      </c>
      <c r="D5" s="5" t="s">
        <v>38</v>
      </c>
      <c r="E5" t="s">
        <v>39</v>
      </c>
      <c r="F5" t="str">
        <f t="shared" si="0"/>
        <v xml:space="preserve">IT ACTUALS EUR Apr01_May-21 </v>
      </c>
      <c r="G5" t="s">
        <v>39</v>
      </c>
      <c r="H5" t="e">
        <f t="shared" si="1"/>
        <v>#N/A</v>
      </c>
      <c r="Q5" t="str">
        <f t="shared" si="2"/>
        <v xml:space="preserve">01_May-21 </v>
      </c>
      <c r="R5" t="str">
        <f t="shared" si="2"/>
        <v>May-21</v>
      </c>
    </row>
    <row r="6" spans="1:22" ht="15.95" customHeight="1">
      <c r="A6">
        <v>5</v>
      </c>
      <c r="B6" s="5" t="s">
        <v>31</v>
      </c>
      <c r="C6" s="5" t="s">
        <v>32</v>
      </c>
      <c r="D6" s="5" t="s">
        <v>39</v>
      </c>
      <c r="E6" t="s">
        <v>39</v>
      </c>
      <c r="F6" t="str">
        <f t="shared" si="0"/>
        <v>IT ACTUALS EUR AprMay-21</v>
      </c>
      <c r="G6" t="s">
        <v>39</v>
      </c>
      <c r="H6" t="e">
        <f t="shared" si="1"/>
        <v>#N/A</v>
      </c>
      <c r="Q6" t="str">
        <f t="shared" si="2"/>
        <v>May-21</v>
      </c>
      <c r="R6" t="str">
        <f t="shared" si="2"/>
        <v>May-21</v>
      </c>
    </row>
    <row r="7" spans="1:22" ht="15.95" customHeight="1">
      <c r="A7">
        <v>6</v>
      </c>
      <c r="B7" s="5" t="s">
        <v>31</v>
      </c>
      <c r="C7" s="5" t="s">
        <v>32</v>
      </c>
      <c r="D7" s="5" t="s">
        <v>40</v>
      </c>
      <c r="E7" t="s">
        <v>40</v>
      </c>
      <c r="F7" t="str">
        <f t="shared" si="0"/>
        <v>IT ACTUALS EUR AprMar-23</v>
      </c>
      <c r="G7" t="s">
        <v>40</v>
      </c>
      <c r="H7" t="e">
        <f t="shared" si="1"/>
        <v>#N/A</v>
      </c>
      <c r="Q7" t="str">
        <f t="shared" si="2"/>
        <v>Mar-23</v>
      </c>
      <c r="R7" t="str">
        <f t="shared" si="2"/>
        <v>Mar-23</v>
      </c>
    </row>
    <row r="8" spans="1:22" ht="15.95" customHeight="1">
      <c r="A8">
        <v>7</v>
      </c>
      <c r="B8" s="5" t="s">
        <v>31</v>
      </c>
      <c r="C8" s="5" t="s">
        <v>32</v>
      </c>
      <c r="D8" s="5" t="s">
        <v>41</v>
      </c>
      <c r="E8" t="s">
        <v>41</v>
      </c>
      <c r="F8" t="str">
        <f t="shared" si="0"/>
        <v>IT ACTUALS EUR AprJan-24</v>
      </c>
      <c r="G8" t="s">
        <v>41</v>
      </c>
      <c r="H8" t="e">
        <f t="shared" si="1"/>
        <v>#N/A</v>
      </c>
      <c r="Q8" t="str">
        <f t="shared" si="2"/>
        <v>Jan-24</v>
      </c>
      <c r="R8" t="str">
        <f t="shared" si="2"/>
        <v>Jan-24</v>
      </c>
    </row>
    <row r="9" spans="1:22" ht="15.95" customHeight="1">
      <c r="A9">
        <v>8</v>
      </c>
      <c r="B9" s="5" t="s">
        <v>31</v>
      </c>
      <c r="C9" s="5" t="s">
        <v>32</v>
      </c>
      <c r="D9" s="5" t="s">
        <v>42</v>
      </c>
      <c r="E9" t="s">
        <v>42</v>
      </c>
      <c r="F9" t="str">
        <f t="shared" si="0"/>
        <v>IT ACTUALS EUR AprDec-24</v>
      </c>
      <c r="G9" t="s">
        <v>42</v>
      </c>
      <c r="H9" t="e">
        <f t="shared" si="1"/>
        <v>#N/A</v>
      </c>
      <c r="Q9" t="str">
        <f t="shared" si="2"/>
        <v>Dec-24</v>
      </c>
      <c r="R9" t="str">
        <f t="shared" si="2"/>
        <v>Dec-24</v>
      </c>
    </row>
    <row r="10" spans="1:22" ht="15.95" customHeight="1">
      <c r="A10">
        <v>9</v>
      </c>
      <c r="B10" s="5" t="s">
        <v>43</v>
      </c>
      <c r="C10" s="5" t="s">
        <v>44</v>
      </c>
      <c r="D10" s="5" t="s">
        <v>45</v>
      </c>
      <c r="E10" t="s">
        <v>45</v>
      </c>
      <c r="F10" t="str">
        <f t="shared" si="0"/>
        <v>UY ACTUALS UYU MarNov-23</v>
      </c>
      <c r="G10" t="s">
        <v>45</v>
      </c>
      <c r="H10" t="e">
        <f t="shared" si="1"/>
        <v>#N/A</v>
      </c>
      <c r="Q10" t="str">
        <f t="shared" si="2"/>
        <v>Nov-23</v>
      </c>
      <c r="R10" t="str">
        <f t="shared" si="2"/>
        <v>Nov-23</v>
      </c>
    </row>
    <row r="11" spans="1:22" ht="15.95" customHeight="1">
      <c r="A11">
        <v>10</v>
      </c>
      <c r="B11" s="5" t="s">
        <v>46</v>
      </c>
      <c r="C11" s="5" t="s">
        <v>47</v>
      </c>
      <c r="D11" s="5" t="s">
        <v>48</v>
      </c>
      <c r="E11" t="s">
        <v>48</v>
      </c>
      <c r="F11" t="str">
        <f t="shared" si="0"/>
        <v>CL ACTUALS CLP DecJan-25</v>
      </c>
      <c r="G11" t="s">
        <v>48</v>
      </c>
      <c r="H11" t="e">
        <f t="shared" si="1"/>
        <v>#N/A</v>
      </c>
      <c r="Q11" t="str">
        <f t="shared" si="2"/>
        <v>Jan-25</v>
      </c>
      <c r="R11" t="str">
        <f t="shared" si="2"/>
        <v>Jan-25</v>
      </c>
    </row>
    <row r="12" spans="1:22" ht="15.95" customHeight="1">
      <c r="B12" s="5"/>
      <c r="C12" s="5"/>
      <c r="D12" s="5"/>
    </row>
    <row r="13" spans="1:22" ht="15.95" customHeight="1">
      <c r="B13" s="5"/>
      <c r="C13" s="5"/>
      <c r="D13" s="5"/>
    </row>
    <row r="14" spans="1:22" ht="15.95" customHeight="1">
      <c r="B14" s="5"/>
      <c r="C14" s="5"/>
      <c r="D14" s="5"/>
    </row>
    <row r="15" spans="1:22" ht="15.95" customHeight="1">
      <c r="B15" s="5"/>
      <c r="C15" s="5"/>
      <c r="D15" s="5"/>
    </row>
    <row r="16" spans="1:22" ht="15.95" customHeight="1">
      <c r="B16" s="5"/>
      <c r="C16" s="5"/>
      <c r="D16" s="5"/>
    </row>
    <row r="17" spans="2:4" ht="15.95" customHeight="1">
      <c r="B17" s="5"/>
      <c r="C17" s="5"/>
      <c r="D17" s="5"/>
    </row>
    <row r="18" spans="2:4" ht="15.95" customHeight="1">
      <c r="B18" s="5"/>
      <c r="C18" s="5"/>
      <c r="D18" s="5"/>
    </row>
    <row r="19" spans="2:4" ht="15.95" customHeight="1">
      <c r="B19" s="5"/>
      <c r="C19" s="5"/>
      <c r="D19" s="5"/>
    </row>
    <row r="20" spans="2:4" ht="15.95" customHeight="1">
      <c r="B20" s="5"/>
      <c r="C20" s="5"/>
      <c r="D20" s="5"/>
    </row>
    <row r="21" spans="2:4" ht="15.95" customHeight="1">
      <c r="B21" s="5"/>
      <c r="C21" s="5"/>
      <c r="D21" s="5"/>
    </row>
    <row r="22" spans="2:4" ht="15.95" customHeight="1">
      <c r="B22" s="5"/>
      <c r="C22" s="5"/>
      <c r="D22" s="5"/>
    </row>
    <row r="23" spans="2:4" ht="15.95" customHeight="1">
      <c r="B23" s="5"/>
      <c r="C23" s="5"/>
      <c r="D23" s="5"/>
    </row>
    <row r="24" spans="2:4" ht="15.95" customHeight="1">
      <c r="B24" s="5"/>
      <c r="C24" s="5"/>
      <c r="D24" s="8"/>
    </row>
    <row r="25" spans="2:4" ht="15.95" customHeight="1">
      <c r="B25" s="5"/>
      <c r="C25" s="5"/>
      <c r="D25" s="8"/>
    </row>
    <row r="26" spans="2:4" ht="15.95" customHeight="1">
      <c r="B26" s="5"/>
      <c r="C26" s="5"/>
      <c r="D26" s="5"/>
    </row>
    <row r="27" spans="2:4" ht="15.95" customHeight="1">
      <c r="B27" s="5"/>
      <c r="C27" s="5"/>
      <c r="D27" s="5"/>
    </row>
    <row r="28" spans="2:4" ht="15.95" customHeight="1">
      <c r="B28" s="5"/>
      <c r="C28" s="5"/>
      <c r="D28" s="5"/>
    </row>
    <row r="29" spans="2:4" ht="15.95" customHeight="1">
      <c r="B29" s="5"/>
      <c r="C29" s="5"/>
      <c r="D29" s="5"/>
    </row>
    <row r="30" spans="2:4" ht="15.95" customHeight="1">
      <c r="B30" s="5"/>
      <c r="C30" s="5"/>
      <c r="D30" s="5"/>
    </row>
    <row r="31" spans="2:4" ht="15.95" customHeight="1">
      <c r="B31" s="5"/>
      <c r="C31" s="5"/>
      <c r="D31" s="5"/>
    </row>
    <row r="32" spans="2:4" ht="15.95" customHeight="1">
      <c r="B32" s="5"/>
      <c r="C32" s="5"/>
      <c r="D32" s="5"/>
    </row>
    <row r="33" spans="2:5" ht="15.95" customHeight="1">
      <c r="B33" s="5"/>
      <c r="C33" s="5"/>
      <c r="D33" s="5"/>
    </row>
    <row r="34" spans="2:5">
      <c r="B34" s="9"/>
      <c r="C34" s="9"/>
      <c r="D34" s="7"/>
      <c r="E34" s="7"/>
    </row>
  </sheetData>
  <pageMargins left="0.7" right="0.7" top="0.75" bottom="0.75" header="0.3" footer="0.3"/>
  <pageSetup paperSize="9" orientation="portrait" horizontalDpi="0" verticalDpi="0"/>
</worksheet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Guy, Richard</dc:creator>
  <cp:keywords/>
  <dc:description/>
  <cp:lastModifiedBy>Guy, Richard</cp:lastModifiedBy>
  <cp:revision/>
  <dcterms:created xsi:type="dcterms:W3CDTF">2025-08-21T09:59:24Z</dcterms:created>
  <dcterms:modified xsi:type="dcterms:W3CDTF">2025-11-03T10:58:29Z</dcterms:modified>
  <cp:category/>
  <cp:contentStatus/>
</cp:coreProperties>
</file>